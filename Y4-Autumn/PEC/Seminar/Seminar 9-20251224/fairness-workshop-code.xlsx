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nottinghamedu1-my.sharepoint.com/personal/z2019079_nottingham_edu_cn/Documents/Groups/Validate AI CIC/Masterclass 2025/lectures/Day 3/"/>
    </mc:Choice>
  </mc:AlternateContent>
  <bookViews>
    <workbookView xWindow="0" yWindow="0" windowWidth="9360" windowHeight="6585" activeTab="1"/>
  </bookViews>
  <sheets>
    <sheet name="COMPAS" sheetId="1" r:id="rId1"/>
    <sheet name="Artificial examp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2" l="1"/>
  <c r="D10" i="2"/>
  <c r="B13" i="2"/>
  <c r="C13" i="2"/>
  <c r="B15" i="2"/>
  <c r="C15" i="2"/>
  <c r="D15" i="2"/>
  <c r="E15" i="2"/>
  <c r="E17" i="2"/>
  <c r="D17" i="2"/>
  <c r="C17" i="2"/>
  <c r="B17" i="2"/>
  <c r="E17" i="1"/>
  <c r="D17" i="1"/>
  <c r="C17" i="1"/>
  <c r="B17" i="1"/>
  <c r="E15" i="1"/>
  <c r="D15" i="1"/>
  <c r="C15" i="1"/>
  <c r="B15" i="1"/>
  <c r="C13" i="1"/>
  <c r="B13" i="1"/>
</calcChain>
</file>

<file path=xl/sharedStrings.xml><?xml version="1.0" encoding="utf-8"?>
<sst xmlns="http://schemas.openxmlformats.org/spreadsheetml/2006/main" count="57" uniqueCount="45">
  <si>
    <t>Fairness example 1</t>
  </si>
  <si>
    <t>COMPAS data</t>
  </si>
  <si>
    <t>Numbers</t>
  </si>
  <si>
    <t>Score</t>
  </si>
  <si>
    <t>Outcome</t>
  </si>
  <si>
    <t>Low</t>
  </si>
  <si>
    <t>High</t>
  </si>
  <si>
    <t>Black</t>
  </si>
  <si>
    <t>Survived</t>
  </si>
  <si>
    <t>Recidivated</t>
  </si>
  <si>
    <t>White</t>
  </si>
  <si>
    <t>Fairness tests</t>
  </si>
  <si>
    <t>Independence</t>
  </si>
  <si>
    <t>P(High|Black)</t>
  </si>
  <si>
    <t>P(High|White)</t>
  </si>
  <si>
    <t>Separation</t>
  </si>
  <si>
    <t>P(High|Black, Survived)</t>
  </si>
  <si>
    <t>P(High|White, Survived)</t>
  </si>
  <si>
    <t>P(High|Black, Recidivated)</t>
  </si>
  <si>
    <t>P(High|White, Recidivated)</t>
  </si>
  <si>
    <t>Sufficiency</t>
  </si>
  <si>
    <t>P(Recidivated| High, White)</t>
  </si>
  <si>
    <t>P(Recidivated| High, Black)</t>
  </si>
  <si>
    <t>P(Recidivated| Low, Black)</t>
  </si>
  <si>
    <t>P(Recidivated| Low, White)</t>
  </si>
  <si>
    <t>Fairness example 2</t>
  </si>
  <si>
    <t>Artificial indicating Independence</t>
  </si>
  <si>
    <t>Male</t>
  </si>
  <si>
    <t>Female</t>
  </si>
  <si>
    <t>Price</t>
  </si>
  <si>
    <t>No claim</t>
  </si>
  <si>
    <t>Claim</t>
  </si>
  <si>
    <t>P(High|Female)</t>
  </si>
  <si>
    <t>P(High|Male)</t>
  </si>
  <si>
    <t>P(High|Female, No claim)</t>
  </si>
  <si>
    <t>P(High|Male, No claim)</t>
  </si>
  <si>
    <t>P(High|Female, Claim)</t>
  </si>
  <si>
    <t>P(High|Male, Claim)</t>
  </si>
  <si>
    <t>P(Claim| High, Female)</t>
  </si>
  <si>
    <t>P(Claim| High, Male)</t>
  </si>
  <si>
    <t>P(Claim| Low, Female)</t>
  </si>
  <si>
    <t>P(Claim| Low, Male)</t>
  </si>
  <si>
    <t>TOTAL</t>
  </si>
  <si>
    <t>Red herring</t>
  </si>
  <si>
    <t>P(Claim | 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</si>
</sst>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3" fillId="0" borderId="0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B12" sqref="B12"/>
    </sheetView>
  </sheetViews>
  <sheetFormatPr defaultRowHeight="15" x14ac:dyDescent="0.25"/>
  <cols>
    <col min="1" max="1" width="24" customWidth="1"/>
    <col min="2" max="2" width="15" customWidth="1"/>
    <col min="3" max="3" width="15.5703125" customWidth="1"/>
    <col min="4" max="4" width="14" customWidth="1"/>
    <col min="5" max="5" width="13.7109375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ht="15.75" thickBot="1" x14ac:dyDescent="0.3"/>
    <row r="4" spans="1:5" ht="16.5" thickBot="1" x14ac:dyDescent="0.3">
      <c r="A4" s="1" t="s">
        <v>2</v>
      </c>
      <c r="B4" s="1"/>
      <c r="C4" s="1" t="s">
        <v>3</v>
      </c>
      <c r="D4" s="1"/>
    </row>
    <row r="5" spans="1:5" ht="18.75" customHeight="1" thickTop="1" thickBot="1" x14ac:dyDescent="0.3">
      <c r="A5" s="2"/>
      <c r="B5" s="3" t="s">
        <v>4</v>
      </c>
      <c r="C5" s="4" t="s">
        <v>5</v>
      </c>
      <c r="D5" s="4" t="s">
        <v>6</v>
      </c>
    </row>
    <row r="6" spans="1:5" ht="16.5" thickBot="1" x14ac:dyDescent="0.3">
      <c r="A6" s="5" t="s">
        <v>7</v>
      </c>
      <c r="B6" s="6" t="s">
        <v>8</v>
      </c>
      <c r="C6" s="6">
        <v>990</v>
      </c>
      <c r="D6" s="6">
        <v>805</v>
      </c>
    </row>
    <row r="7" spans="1:5" ht="22.5" customHeight="1" thickBot="1" x14ac:dyDescent="0.3">
      <c r="A7" s="5"/>
      <c r="B7" s="7" t="s">
        <v>9</v>
      </c>
      <c r="C7" s="7">
        <v>532</v>
      </c>
      <c r="D7" s="7">
        <v>1369</v>
      </c>
    </row>
    <row r="8" spans="1:5" ht="16.5" thickBot="1" x14ac:dyDescent="0.3">
      <c r="A8" s="5" t="s">
        <v>10</v>
      </c>
      <c r="B8" s="6" t="s">
        <v>8</v>
      </c>
      <c r="C8" s="6">
        <v>1139</v>
      </c>
      <c r="D8" s="6">
        <v>349</v>
      </c>
    </row>
    <row r="9" spans="1:5" ht="21" customHeight="1" thickBot="1" x14ac:dyDescent="0.3">
      <c r="A9" s="5"/>
      <c r="B9" s="7" t="s">
        <v>9</v>
      </c>
      <c r="C9" s="7">
        <v>461</v>
      </c>
      <c r="D9" s="7">
        <v>505</v>
      </c>
    </row>
    <row r="11" spans="1:5" x14ac:dyDescent="0.25">
      <c r="A11" t="s">
        <v>11</v>
      </c>
    </row>
    <row r="12" spans="1:5" x14ac:dyDescent="0.25">
      <c r="A12" t="s">
        <v>12</v>
      </c>
      <c r="B12" t="s">
        <v>13</v>
      </c>
      <c r="C12" t="s">
        <v>14</v>
      </c>
    </row>
    <row r="13" spans="1:5" x14ac:dyDescent="0.25">
      <c r="B13">
        <f>(D6+D7)/(C6+C7+D6+D7)</f>
        <v>0.58820346320346317</v>
      </c>
      <c r="C13">
        <f>(D8+D9)/(C8+C9+D8+D9)</f>
        <v>0.34800325998370008</v>
      </c>
    </row>
    <row r="14" spans="1:5" ht="29.25" customHeight="1" x14ac:dyDescent="0.25">
      <c r="A14" t="s">
        <v>15</v>
      </c>
      <c r="B14" s="8" t="s">
        <v>16</v>
      </c>
      <c r="C14" s="8" t="s">
        <v>17</v>
      </c>
      <c r="D14" s="8" t="s">
        <v>18</v>
      </c>
      <c r="E14" s="8" t="s">
        <v>19</v>
      </c>
    </row>
    <row r="15" spans="1:5" x14ac:dyDescent="0.25">
      <c r="B15">
        <f>D6/(C6+D6)</f>
        <v>0.44846796657381616</v>
      </c>
      <c r="C15">
        <f>D8/(C8+D8)</f>
        <v>0.23454301075268819</v>
      </c>
      <c r="D15">
        <f>D7/(C7+D7)</f>
        <v>0.72014729089952656</v>
      </c>
      <c r="E15">
        <f>D9/(C9+D9)</f>
        <v>0.52277432712215322</v>
      </c>
    </row>
    <row r="16" spans="1:5" ht="29.25" customHeight="1" x14ac:dyDescent="0.25">
      <c r="A16" t="s">
        <v>20</v>
      </c>
      <c r="B16" s="8" t="s">
        <v>22</v>
      </c>
      <c r="C16" s="8" t="s">
        <v>21</v>
      </c>
      <c r="D16" s="8" t="s">
        <v>23</v>
      </c>
      <c r="E16" s="8" t="s">
        <v>24</v>
      </c>
    </row>
    <row r="17" spans="2:5" x14ac:dyDescent="0.25">
      <c r="B17">
        <f>D7/(D6+D7)</f>
        <v>0.62971481140754371</v>
      </c>
      <c r="C17">
        <f>D9/(D8+D9)</f>
        <v>0.59133489461358313</v>
      </c>
      <c r="D17">
        <f>C7/(C6+C7)</f>
        <v>0.34954007884362681</v>
      </c>
      <c r="E17">
        <f>C9/(C8+C9)</f>
        <v>0.28812500000000002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topLeftCell="A6" workbookViewId="0">
      <selection activeCell="B21" sqref="B21"/>
    </sheetView>
  </sheetViews>
  <sheetFormatPr defaultRowHeight="15" x14ac:dyDescent="0.25"/>
  <cols>
    <col min="1" max="1" width="24" customWidth="1"/>
    <col min="2" max="2" width="15" customWidth="1"/>
    <col min="3" max="3" width="15.5703125" customWidth="1"/>
    <col min="4" max="4" width="16" customWidth="1"/>
    <col min="5" max="5" width="13.7109375" customWidth="1"/>
  </cols>
  <sheetData>
    <row r="1" spans="1:7" x14ac:dyDescent="0.25">
      <c r="A1" t="s">
        <v>25</v>
      </c>
    </row>
    <row r="2" spans="1:7" x14ac:dyDescent="0.25">
      <c r="A2" t="s">
        <v>26</v>
      </c>
    </row>
    <row r="3" spans="1:7" ht="15.75" thickBot="1" x14ac:dyDescent="0.3"/>
    <row r="4" spans="1:7" ht="16.5" thickBot="1" x14ac:dyDescent="0.3">
      <c r="A4" s="1" t="s">
        <v>2</v>
      </c>
      <c r="B4" s="1"/>
      <c r="C4" s="1" t="s">
        <v>29</v>
      </c>
      <c r="D4" s="1"/>
    </row>
    <row r="5" spans="1:7" ht="18.75" customHeight="1" thickTop="1" thickBot="1" x14ac:dyDescent="0.3">
      <c r="A5" s="2"/>
      <c r="B5" s="3" t="s">
        <v>4</v>
      </c>
      <c r="C5" s="4" t="s">
        <v>5</v>
      </c>
      <c r="D5" s="4" t="s">
        <v>6</v>
      </c>
    </row>
    <row r="6" spans="1:7" ht="16.5" thickBot="1" x14ac:dyDescent="0.3">
      <c r="A6" s="5" t="s">
        <v>28</v>
      </c>
      <c r="B6" s="6" t="s">
        <v>30</v>
      </c>
      <c r="C6" s="6">
        <v>2200</v>
      </c>
      <c r="D6" s="6">
        <v>1250</v>
      </c>
      <c r="G6" s="9"/>
    </row>
    <row r="7" spans="1:7" ht="22.5" customHeight="1" thickBot="1" x14ac:dyDescent="0.3">
      <c r="A7" s="5"/>
      <c r="B7" s="7" t="s">
        <v>31</v>
      </c>
      <c r="C7" s="7">
        <v>50</v>
      </c>
      <c r="D7" s="7">
        <v>200</v>
      </c>
    </row>
    <row r="8" spans="1:7" ht="16.5" thickBot="1" x14ac:dyDescent="0.3">
      <c r="A8" s="5" t="s">
        <v>27</v>
      </c>
      <c r="B8" s="6" t="s">
        <v>30</v>
      </c>
      <c r="C8" s="6">
        <v>3500</v>
      </c>
      <c r="D8" s="6">
        <v>2000</v>
      </c>
    </row>
    <row r="9" spans="1:7" ht="21" customHeight="1" thickBot="1" x14ac:dyDescent="0.3">
      <c r="A9" s="5"/>
      <c r="B9" s="7" t="s">
        <v>31</v>
      </c>
      <c r="C9" s="7">
        <v>300</v>
      </c>
      <c r="D9" s="7">
        <v>500</v>
      </c>
    </row>
    <row r="10" spans="1:7" x14ac:dyDescent="0.25">
      <c r="C10" t="s">
        <v>42</v>
      </c>
      <c r="D10">
        <f>SUM(C6:C9)+SUM(D6:D9)</f>
        <v>10000</v>
      </c>
    </row>
    <row r="11" spans="1:7" x14ac:dyDescent="0.25">
      <c r="A11" t="s">
        <v>11</v>
      </c>
    </row>
    <row r="12" spans="1:7" x14ac:dyDescent="0.25">
      <c r="A12" t="s">
        <v>12</v>
      </c>
      <c r="B12" t="s">
        <v>32</v>
      </c>
      <c r="C12" t="s">
        <v>33</v>
      </c>
    </row>
    <row r="13" spans="1:7" x14ac:dyDescent="0.25">
      <c r="B13">
        <f>(D6+D7)/(C6+C7+D6+D7)</f>
        <v>0.39189189189189189</v>
      </c>
      <c r="C13">
        <f>(D8+D9)/(C8+C9+D8+D9)</f>
        <v>0.3968253968253968</v>
      </c>
    </row>
    <row r="14" spans="1:7" ht="29.25" customHeight="1" x14ac:dyDescent="0.25">
      <c r="A14" t="s">
        <v>15</v>
      </c>
      <c r="B14" s="8" t="s">
        <v>34</v>
      </c>
      <c r="C14" s="8" t="s">
        <v>35</v>
      </c>
      <c r="D14" s="8" t="s">
        <v>36</v>
      </c>
      <c r="E14" s="8" t="s">
        <v>37</v>
      </c>
    </row>
    <row r="15" spans="1:7" x14ac:dyDescent="0.25">
      <c r="B15">
        <f>D6/(C6+D6)</f>
        <v>0.36231884057971014</v>
      </c>
      <c r="C15">
        <f>D8/(C8+D8)</f>
        <v>0.36363636363636365</v>
      </c>
      <c r="D15">
        <f>D7/(C7+D7)</f>
        <v>0.8</v>
      </c>
      <c r="E15">
        <f>D9/(C9+D9)</f>
        <v>0.625</v>
      </c>
    </row>
    <row r="16" spans="1:7" ht="29.25" customHeight="1" x14ac:dyDescent="0.25">
      <c r="A16" t="s">
        <v>20</v>
      </c>
      <c r="B16" s="8" t="s">
        <v>38</v>
      </c>
      <c r="C16" s="8" t="s">
        <v>39</v>
      </c>
      <c r="D16" s="8" t="s">
        <v>40</v>
      </c>
      <c r="E16" s="8" t="s">
        <v>41</v>
      </c>
    </row>
    <row r="17" spans="1:5" x14ac:dyDescent="0.25">
      <c r="B17">
        <f>D7/(D6+D7)</f>
        <v>0.13793103448275862</v>
      </c>
      <c r="C17">
        <f>D9/(D8+D9)</f>
        <v>0.2</v>
      </c>
      <c r="D17">
        <f>C7/(C6+C7)</f>
        <v>2.2222222222222223E-2</v>
      </c>
      <c r="E17">
        <f>C9/(C8+C9)</f>
        <v>7.8947368421052627E-2</v>
      </c>
    </row>
    <row r="19" spans="1:5" x14ac:dyDescent="0.25">
      <c r="A19" t="s">
        <v>43</v>
      </c>
      <c r="B19" t="s">
        <v>44</v>
      </c>
    </row>
    <row r="20" spans="1:5" x14ac:dyDescent="0.25">
      <c r="B20">
        <f>(C7+D7)/(C6+D6+C7+D7)</f>
        <v>6.7567567567567571E-2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81C069B70DBB154781A728B91D8F8303" ma:contentTypeVersion="19" ma:contentTypeDescription="新建文档。" ma:contentTypeScope="" ma:versionID="61bfb956190f945ec22c0f11800b1359">
  <xsd:schema xmlns:xsd="http://www.w3.org/2001/XMLSchema" xmlns:xs="http://www.w3.org/2001/XMLSchema" xmlns:p="http://schemas.microsoft.com/office/2006/metadata/properties" xmlns:ns3="b29f5874-a1bc-462a-b5ee-368fa93830ce" xmlns:ns4="c5142b69-a401-4161-8434-e1da42d7445c" targetNamespace="http://schemas.microsoft.com/office/2006/metadata/properties" ma:root="true" ma:fieldsID="4d1a13d855c4fa91b0647b4cdbf5922f" ns3:_="" ns4:_="">
    <xsd:import namespace="b29f5874-a1bc-462a-b5ee-368fa93830ce"/>
    <xsd:import namespace="c5142b69-a401-4161-8434-e1da42d7445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f5874-a1bc-462a-b5ee-368fa93830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42b69-a401-4161-8434-e1da42d7445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共享提示哈希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9f5874-a1bc-462a-b5ee-368fa93830ce" xsi:nil="true"/>
  </documentManagement>
</p:properties>
</file>

<file path=customXml/itemProps1.xml><?xml version="1.0" encoding="utf-8"?>
<ds:datastoreItem xmlns:ds="http://schemas.openxmlformats.org/officeDocument/2006/customXml" ds:itemID="{0F10BEAE-49BB-4A54-BE9C-FE42669A3A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9f5874-a1bc-462a-b5ee-368fa93830ce"/>
    <ds:schemaRef ds:uri="c5142b69-a401-4161-8434-e1da42d744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01D40-9F63-4766-8E7C-10DCED292D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70834A-D5B8-4BA1-906E-5A515061CC2F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b29f5874-a1bc-462a-b5ee-368fa93830ce"/>
    <ds:schemaRef ds:uri="http://purl.org/dc/terms/"/>
    <ds:schemaRef ds:uri="http://schemas.microsoft.com/office/infopath/2007/PartnerControls"/>
    <ds:schemaRef ds:uri="c5142b69-a401-4161-8434-e1da42d7445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COMPAS</vt:lpstr>
      <vt:lpstr>Artificial example</vt:lpstr>
    </vt:vector>
  </TitlesOfParts>
  <Company>The University of Nottingham Ningbo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Graham Bellotti</dc:creator>
  <cp:lastModifiedBy>Anthony Graham Bellotti</cp:lastModifiedBy>
  <dcterms:created xsi:type="dcterms:W3CDTF">2025-09-21T07:42:32Z</dcterms:created>
  <dcterms:modified xsi:type="dcterms:W3CDTF">2025-09-21T08:45:08Z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0x01010081C069B70DBB154781A728B91D8F8303</vt:lpwstr>
  </property>
</Properties>
</file>